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" sheetId="1" state="visible" r:id="rId3"/>
    <sheet name="KPI Scoring" sheetId="2" state="visible" r:id="rId4"/>
    <sheet name="Monthly Summary" sheetId="3" state="visible" r:id="rId5"/>
    <sheet name="Ac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<sst xmlns="http://schemas.openxmlformats.org/spreadsheetml/2006/main" count="72" uniqueCount="67">
  <si>
    <t xml:space="preserve">Date</t>
  </si>
  <si>
    <t xml:space="preserve">Ticket Volume</t>
  </si>
  <si>
    <t xml:space="preserve">ASA (mins)</t>
  </si>
  <si>
    <t xml:space="preserve">FCR (%)</t>
  </si>
  <si>
    <t xml:space="preserve">ABR (%)</t>
  </si>
  <si>
    <t xml:space="preserve">CSAT (%)</t>
  </si>
  <si>
    <t xml:space="preserve">SLA Compliance (%)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</si>
  <si>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</si>
  <si>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</si>
  <si>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</si>
  <si>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</si>
  <si>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</si>
  <si>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</si>
  <si>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</si>
  <si>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</si>
  <si>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</si>
  <si>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</si>
  <si>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</si>
  <si>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</si>
  <si>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</si>
  <si>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</si>
  <si>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</si>
  <si>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</si>
  <si>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</si>
  <si>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</si>
  <si>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</si>
  <si>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</si>
  <si>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</si>
  <si>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</si>
  <si>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</si>
  <si>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</si>
  <si>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</si>
  <si>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</si>
  <si>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</si>
  <si>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</si>
  <si>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</si>
  <si>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</si>
  <si>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KPI</t>
  </si>
  <si>
    <t xml:space="preserve">Target</t>
  </si>
  <si>
    <t xml:space="preserve">Current Avg</t>
  </si>
  <si>
    <t xml:space="preserve">Status</t>
  </si>
  <si>
    <t xml:space="preserve">&lt; 5 mins</t>
  </si>
  <si>
    <t xml:space="preserve">&gt;= 70%</t>
  </si>
  <si>
    <t xml:space="preserve">&lt; 5%</t>
  </si>
  <si>
    <t xml:space="preserve">&gt;= 90%</t>
  </si>
  <si>
    <t xml:space="preserve">SLA (%)</t>
  </si>
  <si>
    <t xml:space="preserve">Metric</t>
  </si>
  <si>
    <t xml:space="preserve">Value</t>
  </si>
  <si>
    <t xml:space="preserve">Total Tickets</t>
  </si>
  <si>
    <t xml:space="preserve">Average ASA</t>
  </si>
  <si>
    <t xml:space="preserve">Average FCR</t>
  </si>
  <si>
    <t xml:space="preserve">Average ABR</t>
  </si>
  <si>
    <t xml:space="preserve">Average CSAT</t>
  </si>
  <si>
    <t xml:space="preserve">Average SLA</t>
  </si>
  <si>
    <t xml:space="preserve">Manager Action Plan – Monthly Review</t>
  </si>
  <si>
    <t xml:space="preserve">1. Staffing Adjustments:</t>
  </si>
  <si>
    <t xml:space="preserve">- Add part-time peak coverage for high ticket days.</t>
  </si>
  <si>
    <t xml:space="preserve">- Rotate early-shift and late-shift agents to balance ASA.</t>
  </si>
  <si>
    <t xml:space="preserve">2. SLA Strengthening:</t>
  </si>
  <si>
    <t xml:space="preserve">- Daily check of SLA breaches before closing.</t>
  </si>
  <si>
    <t xml:space="preserve">- Tighten prioritization rules for P2/P3 categories.</t>
  </si>
  <si>
    <t xml:space="preserve">3. CSAT Improvements:</t>
  </si>
  <si>
    <t xml:space="preserve">- Validate KB accuracy weekly.</t>
  </si>
  <si>
    <t xml:space="preserve">- Increase agent follow-up within 1 business day.</t>
  </si>
  <si>
    <t xml:space="preserve">4. Process Optimization:</t>
  </si>
  <si>
    <t xml:space="preserve">- Improve intake categorization.</t>
  </si>
  <si>
    <t xml:space="preserve">- Automate ticket routing based on incident type.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</si>
</sst>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99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9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KPI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Dashboard'!B1</c:f>
              <c:strCache>
                <c:ptCount val="1"/>
                <c:pt idx="0">
                  <c:v>Ticket Volume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Dashboard'!$B$2:$B$31</c:f>
              <c:numCache>
                <c:formatCode>General</c:formatCode>
                <c:ptCount val="30"/>
                <c:pt idx="0">
                  <c:v>75</c:v>
                </c:pt>
                <c:pt idx="1">
                  <c:v>61</c:v>
                </c:pt>
                <c:pt idx="2">
                  <c:v>75</c:v>
                </c:pt>
                <c:pt idx="3">
                  <c:v>70</c:v>
                </c:pt>
                <c:pt idx="4">
                  <c:v>51</c:v>
                </c:pt>
                <c:pt idx="5">
                  <c:v>57</c:v>
                </c:pt>
                <c:pt idx="6">
                  <c:v>43</c:v>
                </c:pt>
                <c:pt idx="7">
                  <c:v>70</c:v>
                </c:pt>
                <c:pt idx="8">
                  <c:v>57</c:v>
                </c:pt>
                <c:pt idx="9">
                  <c:v>48</c:v>
                </c:pt>
                <c:pt idx="10">
                  <c:v>57</c:v>
                </c:pt>
                <c:pt idx="11">
                  <c:v>42</c:v>
                </c:pt>
                <c:pt idx="12">
                  <c:v>46</c:v>
                </c:pt>
                <c:pt idx="13">
                  <c:v>52</c:v>
                </c:pt>
                <c:pt idx="14">
                  <c:v>46</c:v>
                </c:pt>
                <c:pt idx="15">
                  <c:v>50</c:v>
                </c:pt>
                <c:pt idx="16">
                  <c:v>60</c:v>
                </c:pt>
                <c:pt idx="17">
                  <c:v>68</c:v>
                </c:pt>
                <c:pt idx="18">
                  <c:v>46</c:v>
                </c:pt>
                <c:pt idx="19">
                  <c:v>54</c:v>
                </c:pt>
                <c:pt idx="20">
                  <c:v>50</c:v>
                </c:pt>
                <c:pt idx="21">
                  <c:v>56</c:v>
                </c:pt>
                <c:pt idx="22">
                  <c:v>71</c:v>
                </c:pt>
                <c:pt idx="23">
                  <c:v>44</c:v>
                </c:pt>
                <c:pt idx="24">
                  <c:v>60</c:v>
                </c:pt>
                <c:pt idx="25">
                  <c:v>58</c:v>
                </c:pt>
                <c:pt idx="26">
                  <c:v>45</c:v>
                </c:pt>
                <c:pt idx="27">
                  <c:v>58</c:v>
                </c:pt>
                <c:pt idx="28">
                  <c:v>41</c:v>
                </c:pt>
                <c:pt idx="29">
                  <c:v>46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'KPI Dashboard'!C1</c:f>
              <c:strCache>
                <c:ptCount val="1"/>
                <c:pt idx="0">
                  <c:v>ASA (mins)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Dashboard'!$C$2:$C$31</c:f>
              <c:numCache>
                <c:formatCode>General</c:formatCode>
                <c:ptCount val="30"/>
                <c:pt idx="0">
                  <c:v>3.43</c:v>
                </c:pt>
                <c:pt idx="1">
                  <c:v>3.13</c:v>
                </c:pt>
                <c:pt idx="2">
                  <c:v>5.37</c:v>
                </c:pt>
                <c:pt idx="3">
                  <c:v>4.72</c:v>
                </c:pt>
                <c:pt idx="4">
                  <c:v>5.14</c:v>
                </c:pt>
                <c:pt idx="5">
                  <c:v>3.42</c:v>
                </c:pt>
                <c:pt idx="6">
                  <c:v>3.05</c:v>
                </c:pt>
                <c:pt idx="7">
                  <c:v>2.89</c:v>
                </c:pt>
                <c:pt idx="8">
                  <c:v>4.5</c:v>
                </c:pt>
                <c:pt idx="9">
                  <c:v>5.55</c:v>
                </c:pt>
                <c:pt idx="10">
                  <c:v>2.94</c:v>
                </c:pt>
                <c:pt idx="11">
                  <c:v>4.34</c:v>
                </c:pt>
                <c:pt idx="12">
                  <c:v>3.41</c:v>
                </c:pt>
                <c:pt idx="13">
                  <c:v>5.69</c:v>
                </c:pt>
                <c:pt idx="14">
                  <c:v>3.55</c:v>
                </c:pt>
                <c:pt idx="15">
                  <c:v>3.82</c:v>
                </c:pt>
                <c:pt idx="16">
                  <c:v>2.84</c:v>
                </c:pt>
                <c:pt idx="17">
                  <c:v>3.2</c:v>
                </c:pt>
                <c:pt idx="18">
                  <c:v>5.19</c:v>
                </c:pt>
                <c:pt idx="19">
                  <c:v>4.13</c:v>
                </c:pt>
                <c:pt idx="20">
                  <c:v>5.16</c:v>
                </c:pt>
                <c:pt idx="21">
                  <c:v>4.46</c:v>
                </c:pt>
                <c:pt idx="22">
                  <c:v>5.31</c:v>
                </c:pt>
                <c:pt idx="23">
                  <c:v>5.56</c:v>
                </c:pt>
                <c:pt idx="24">
                  <c:v>5.71</c:v>
                </c:pt>
                <c:pt idx="25">
                  <c:v>5.74</c:v>
                </c:pt>
                <c:pt idx="26">
                  <c:v>3.33</c:v>
                </c:pt>
                <c:pt idx="27">
                  <c:v>3.94</c:v>
                </c:pt>
                <c:pt idx="28">
                  <c:v>3.79</c:v>
                </c:pt>
                <c:pt idx="29">
                  <c:v>3.9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'KPI Dashboard'!D1</c:f>
              <c:strCache>
                <c:ptCount val="1"/>
                <c:pt idx="0">
                  <c:v>FCR (%)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Dashboard'!$D$2:$D$31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68</c:v>
                </c:pt>
                <c:pt idx="3">
                  <c:v>67</c:v>
                </c:pt>
                <c:pt idx="4">
                  <c:v>71</c:v>
                </c:pt>
                <c:pt idx="5">
                  <c:v>68</c:v>
                </c:pt>
                <c:pt idx="6">
                  <c:v>78</c:v>
                </c:pt>
                <c:pt idx="7">
                  <c:v>76</c:v>
                </c:pt>
                <c:pt idx="8">
                  <c:v>80</c:v>
                </c:pt>
                <c:pt idx="9">
                  <c:v>76</c:v>
                </c:pt>
                <c:pt idx="10">
                  <c:v>77</c:v>
                </c:pt>
                <c:pt idx="11">
                  <c:v>73</c:v>
                </c:pt>
                <c:pt idx="12">
                  <c:v>67</c:v>
                </c:pt>
                <c:pt idx="13">
                  <c:v>78</c:v>
                </c:pt>
                <c:pt idx="14">
                  <c:v>74</c:v>
                </c:pt>
                <c:pt idx="15">
                  <c:v>79</c:v>
                </c:pt>
                <c:pt idx="16">
                  <c:v>74</c:v>
                </c:pt>
                <c:pt idx="17">
                  <c:v>71</c:v>
                </c:pt>
                <c:pt idx="18">
                  <c:v>78</c:v>
                </c:pt>
                <c:pt idx="19">
                  <c:v>70</c:v>
                </c:pt>
                <c:pt idx="20">
                  <c:v>66</c:v>
                </c:pt>
                <c:pt idx="21">
                  <c:v>77</c:v>
                </c:pt>
                <c:pt idx="22">
                  <c:v>69</c:v>
                </c:pt>
                <c:pt idx="23">
                  <c:v>69</c:v>
                </c:pt>
                <c:pt idx="24">
                  <c:v>72</c:v>
                </c:pt>
                <c:pt idx="25">
                  <c:v>78</c:v>
                </c:pt>
                <c:pt idx="26">
                  <c:v>76</c:v>
                </c:pt>
                <c:pt idx="27">
                  <c:v>82</c:v>
                </c:pt>
                <c:pt idx="28">
                  <c:v>66</c:v>
                </c:pt>
                <c:pt idx="29">
                  <c:v>66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'KPI Dashboard'!E1</c:f>
              <c:strCache>
                <c:ptCount val="1"/>
                <c:pt idx="0">
                  <c:v>ABR (%)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Dashboard'!$E$2:$E$31</c:f>
              <c:numCache>
                <c:formatCode>General</c:formatCode>
                <c:ptCount val="30"/>
                <c:pt idx="0">
                  <c:v>3.77</c:v>
                </c:pt>
                <c:pt idx="1">
                  <c:v>3.94</c:v>
                </c:pt>
                <c:pt idx="2">
                  <c:v>3.77</c:v>
                </c:pt>
                <c:pt idx="3">
                  <c:v>5.86</c:v>
                </c:pt>
                <c:pt idx="4">
                  <c:v>4.17</c:v>
                </c:pt>
                <c:pt idx="5">
                  <c:v>2.97</c:v>
                </c:pt>
                <c:pt idx="6">
                  <c:v>2.63</c:v>
                </c:pt>
                <c:pt idx="7">
                  <c:v>6.75</c:v>
                </c:pt>
                <c:pt idx="8">
                  <c:v>5.43</c:v>
                </c:pt>
                <c:pt idx="9">
                  <c:v>5.56</c:v>
                </c:pt>
                <c:pt idx="10">
                  <c:v>5.61</c:v>
                </c:pt>
                <c:pt idx="11">
                  <c:v>4.14</c:v>
                </c:pt>
                <c:pt idx="12">
                  <c:v>4.43</c:v>
                </c:pt>
                <c:pt idx="13">
                  <c:v>3.43</c:v>
                </c:pt>
                <c:pt idx="14">
                  <c:v>6.31</c:v>
                </c:pt>
                <c:pt idx="15">
                  <c:v>3.08</c:v>
                </c:pt>
                <c:pt idx="16">
                  <c:v>5.35</c:v>
                </c:pt>
                <c:pt idx="17">
                  <c:v>5.29</c:v>
                </c:pt>
                <c:pt idx="18">
                  <c:v>6.05</c:v>
                </c:pt>
                <c:pt idx="19">
                  <c:v>3.93</c:v>
                </c:pt>
                <c:pt idx="20">
                  <c:v>3.15</c:v>
                </c:pt>
                <c:pt idx="21">
                  <c:v>2.71</c:v>
                </c:pt>
                <c:pt idx="22">
                  <c:v>5.65</c:v>
                </c:pt>
                <c:pt idx="23">
                  <c:v>3.06</c:v>
                </c:pt>
                <c:pt idx="24">
                  <c:v>3.36</c:v>
                </c:pt>
                <c:pt idx="25">
                  <c:v>3.15</c:v>
                </c:pt>
                <c:pt idx="26">
                  <c:v>4.47</c:v>
                </c:pt>
                <c:pt idx="27">
                  <c:v>4.92</c:v>
                </c:pt>
                <c:pt idx="28">
                  <c:v>2.73</c:v>
                </c:pt>
                <c:pt idx="29">
                  <c:v>6.42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'KPI Dashboard'!F1</c:f>
              <c:strCache>
                <c:ptCount val="1"/>
                <c:pt idx="0">
                  <c:v>CSAT (%)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Dashboard'!$F$2:$F$31</c:f>
              <c:numCache>
                <c:formatCode>General</c:formatCode>
                <c:ptCount val="30"/>
                <c:pt idx="0">
                  <c:v>91</c:v>
                </c:pt>
                <c:pt idx="1">
                  <c:v>97</c:v>
                </c:pt>
                <c:pt idx="2">
                  <c:v>96</c:v>
                </c:pt>
                <c:pt idx="3">
                  <c:v>96</c:v>
                </c:pt>
                <c:pt idx="4">
                  <c:v>90</c:v>
                </c:pt>
                <c:pt idx="5">
                  <c:v>88</c:v>
                </c:pt>
                <c:pt idx="6">
                  <c:v>95</c:v>
                </c:pt>
                <c:pt idx="7">
                  <c:v>91</c:v>
                </c:pt>
                <c:pt idx="8">
                  <c:v>90</c:v>
                </c:pt>
                <c:pt idx="9">
                  <c:v>96</c:v>
                </c:pt>
                <c:pt idx="10">
                  <c:v>96</c:v>
                </c:pt>
                <c:pt idx="11">
                  <c:v>92</c:v>
                </c:pt>
                <c:pt idx="12">
                  <c:v>95</c:v>
                </c:pt>
                <c:pt idx="13">
                  <c:v>96</c:v>
                </c:pt>
                <c:pt idx="14">
                  <c:v>98</c:v>
                </c:pt>
                <c:pt idx="15">
                  <c:v>94</c:v>
                </c:pt>
                <c:pt idx="16">
                  <c:v>98</c:v>
                </c:pt>
                <c:pt idx="17">
                  <c:v>94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94</c:v>
                </c:pt>
                <c:pt idx="22">
                  <c:v>95</c:v>
                </c:pt>
                <c:pt idx="23">
                  <c:v>95</c:v>
                </c:pt>
                <c:pt idx="24">
                  <c:v>90</c:v>
                </c:pt>
                <c:pt idx="25">
                  <c:v>91</c:v>
                </c:pt>
                <c:pt idx="26">
                  <c:v>97</c:v>
                </c:pt>
                <c:pt idx="27">
                  <c:v>89</c:v>
                </c:pt>
                <c:pt idx="28">
                  <c:v>96</c:v>
                </c:pt>
                <c:pt idx="29">
                  <c:v>90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'KPI Dashboard'!G1</c:f>
              <c:strCache>
                <c:ptCount val="1"/>
                <c:pt idx="0">
                  <c:v>SLA Compliance (%)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Dashboard'!$A$2:$A$31</c:f>
              <c:strCache>
                <c:ptCount val="30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</c:strCache>
            </c:strRef>
          </c:cat>
          <c:val>
            <c:numRef>
              <c:f>'KPI Dashboard'!$G$2:$G$31</c:f>
              <c:numCache>
                <c:formatCode>General</c:formatCode>
                <c:ptCount val="30"/>
                <c:pt idx="0">
                  <c:v>94</c:v>
                </c:pt>
                <c:pt idx="1">
                  <c:v>96</c:v>
                </c:pt>
                <c:pt idx="2">
                  <c:v>95</c:v>
                </c:pt>
                <c:pt idx="3">
                  <c:v>85</c:v>
                </c:pt>
                <c:pt idx="4">
                  <c:v>91</c:v>
                </c:pt>
                <c:pt idx="5">
                  <c:v>94</c:v>
                </c:pt>
                <c:pt idx="6">
                  <c:v>95</c:v>
                </c:pt>
                <c:pt idx="7">
                  <c:v>84</c:v>
                </c:pt>
                <c:pt idx="8">
                  <c:v>89</c:v>
                </c:pt>
                <c:pt idx="9">
                  <c:v>86</c:v>
                </c:pt>
                <c:pt idx="10">
                  <c:v>93</c:v>
                </c:pt>
                <c:pt idx="11">
                  <c:v>88</c:v>
                </c:pt>
                <c:pt idx="12">
                  <c:v>96</c:v>
                </c:pt>
                <c:pt idx="13">
                  <c:v>85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87</c:v>
                </c:pt>
                <c:pt idx="18">
                  <c:v>91</c:v>
                </c:pt>
                <c:pt idx="19">
                  <c:v>87</c:v>
                </c:pt>
                <c:pt idx="20">
                  <c:v>89</c:v>
                </c:pt>
                <c:pt idx="21">
                  <c:v>91</c:v>
                </c:pt>
                <c:pt idx="22">
                  <c:v>87</c:v>
                </c:pt>
                <c:pt idx="23">
                  <c:v>89</c:v>
                </c:pt>
                <c:pt idx="24">
                  <c:v>95</c:v>
                </c:pt>
                <c:pt idx="25">
                  <c:v>88</c:v>
                </c:pt>
                <c:pt idx="26">
                  <c:v>96</c:v>
                </c:pt>
                <c:pt idx="27">
                  <c:v>94</c:v>
                </c:pt>
                <c:pt idx="28">
                  <c:v>91</c:v>
                </c:pt>
                <c:pt idx="29">
                  <c:v>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576534"/>
        <c:axId val="51068781"/>
      </c:lineChart>
      <c:catAx>
        <c:axId val="72576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68781"/>
        <c:crosses val="autoZero"/>
        <c:auto val="1"/>
        <c:lblAlgn val="ctr"/>
        <c:lblOffset val="100"/>
        <c:noMultiLvlLbl val="0"/>
      </c:catAx>
      <c:valAx>
        <c:axId val="51068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6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108360</xdr:colOff>
      <xdr:row>1</xdr:row>
      <xdr:rowOff>37800</xdr:rowOff>
    </xdr:from>
    <xdr:to>
      <xdr:col>22</xdr:col>
      <xdr:colOff>576360</xdr:colOff>
      <xdr:row>26</xdr:row>
      <xdr:rowOff>95400</xdr:rowOff>
    </xdr:to>
    <xdr:graphicFrame>
      <xdr:nvGraphicFramePr>
        <xdr:cNvPr id="0" name="Chart 1"/>
        <xdr:cNvGraphicFramePr/>
      </xdr:nvGraphicFramePr>
      <xdr:xfrm>
        <a:off x="9126720" y="228240"/>
        <a:ext cx="9640440" cy="482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4" activeCellId="0" sqref="J3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17.8"/>
    <col collapsed="false" customWidth="true" hidden="false" outlineLevel="0" max="3" min="3" style="0" width="21.69"/>
    <col collapsed="false" customWidth="true" hidden="false" outlineLevel="0" max="4" min="4" style="0" width="16.96"/>
    <col collapsed="false" customWidth="true" hidden="false" outlineLevel="0" max="5" min="5" style="0" width="16.83"/>
    <col collapsed="false" customWidth="true" hidden="false" outlineLevel="0" max="6" min="6" style="0" width="16.55"/>
    <col collapsed="false" customWidth="true" hidden="false" outlineLevel="0" max="7" min="7" style="0" width="25.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75</v>
      </c>
      <c r="C2" s="0" t="n">
        <v>3.43</v>
      </c>
      <c r="D2" s="0" t="n">
        <v>78</v>
      </c>
      <c r="E2" s="0" t="n">
        <v>3.77</v>
      </c>
      <c r="F2" s="0" t="n">
        <v>91</v>
      </c>
      <c r="G2" s="0" t="n">
        <v>94</v>
      </c>
    </row>
    <row r="3" customFormat="false" ht="15" hidden="false" customHeight="false" outlineLevel="0" collapsed="false">
      <c r="A3" s="0" t="s">
        <v>8</v>
      </c>
      <c r="B3" s="0" t="n">
        <v>61</v>
      </c>
      <c r="C3" s="0" t="n">
        <v>3.13</v>
      </c>
      <c r="D3" s="0" t="n">
        <v>75</v>
      </c>
      <c r="E3" s="0" t="n">
        <v>3.94</v>
      </c>
      <c r="F3" s="0" t="n">
        <v>97</v>
      </c>
      <c r="G3" s="0" t="n">
        <v>96</v>
      </c>
    </row>
    <row r="4" customFormat="false" ht="15" hidden="false" customHeight="false" outlineLevel="0" collapsed="false">
      <c r="A4" s="0" t="s">
        <v>9</v>
      </c>
      <c r="B4" s="0" t="n">
        <v>75</v>
      </c>
      <c r="C4" s="0" t="n">
        <v>5.37</v>
      </c>
      <c r="D4" s="0" t="n">
        <v>68</v>
      </c>
      <c r="E4" s="0" t="n">
        <v>3.77</v>
      </c>
      <c r="F4" s="0" t="n">
        <v>96</v>
      </c>
      <c r="G4" s="0" t="n">
        <v>95</v>
      </c>
    </row>
    <row r="5" customFormat="false" ht="15" hidden="false" customHeight="false" outlineLevel="0" collapsed="false">
      <c r="A5" s="0" t="s">
        <v>10</v>
      </c>
      <c r="B5" s="0" t="n">
        <v>70</v>
      </c>
      <c r="C5" s="0" t="n">
        <v>4.72</v>
      </c>
      <c r="D5" s="0" t="n">
        <v>67</v>
      </c>
      <c r="E5" s="0" t="n">
        <v>5.86</v>
      </c>
      <c r="F5" s="0" t="n">
        <v>96</v>
      </c>
      <c r="G5" s="0" t="n">
        <v>85</v>
      </c>
    </row>
    <row r="6" customFormat="false" ht="15" hidden="false" customHeight="false" outlineLevel="0" collapsed="false">
      <c r="A6" s="0" t="s">
        <v>11</v>
      </c>
      <c r="B6" s="0" t="n">
        <v>51</v>
      </c>
      <c r="C6" s="0" t="n">
        <v>5.14</v>
      </c>
      <c r="D6" s="0" t="n">
        <v>71</v>
      </c>
      <c r="E6" s="0" t="n">
        <v>4.17</v>
      </c>
      <c r="F6" s="0" t="n">
        <v>90</v>
      </c>
      <c r="G6" s="0" t="n">
        <v>91</v>
      </c>
    </row>
    <row r="7" customFormat="false" ht="15" hidden="false" customHeight="false" outlineLevel="0" collapsed="false">
      <c r="A7" s="0" t="s">
        <v>12</v>
      </c>
      <c r="B7" s="0" t="n">
        <v>57</v>
      </c>
      <c r="C7" s="0" t="n">
        <v>3.42</v>
      </c>
      <c r="D7" s="0" t="n">
        <v>68</v>
      </c>
      <c r="E7" s="0" t="n">
        <v>2.97</v>
      </c>
      <c r="F7" s="0" t="n">
        <v>88</v>
      </c>
      <c r="G7" s="0" t="n">
        <v>94</v>
      </c>
    </row>
    <row r="8" customFormat="false" ht="15" hidden="false" customHeight="false" outlineLevel="0" collapsed="false">
      <c r="A8" s="0" t="s">
        <v>13</v>
      </c>
      <c r="B8" s="0" t="n">
        <v>43</v>
      </c>
      <c r="C8" s="0" t="n">
        <v>3.05</v>
      </c>
      <c r="D8" s="0" t="n">
        <v>78</v>
      </c>
      <c r="E8" s="0" t="n">
        <v>2.63</v>
      </c>
      <c r="F8" s="0" t="n">
        <v>95</v>
      </c>
      <c r="G8" s="0" t="n">
        <v>95</v>
      </c>
    </row>
    <row r="9" customFormat="false" ht="15" hidden="false" customHeight="false" outlineLevel="0" collapsed="false">
      <c r="A9" s="0" t="s">
        <v>14</v>
      </c>
      <c r="B9" s="0" t="n">
        <v>70</v>
      </c>
      <c r="C9" s="0" t="n">
        <v>2.89</v>
      </c>
      <c r="D9" s="0" t="n">
        <v>76</v>
      </c>
      <c r="E9" s="0" t="n">
        <v>6.75</v>
      </c>
      <c r="F9" s="0" t="n">
        <v>91</v>
      </c>
      <c r="G9" s="0" t="n">
        <v>84</v>
      </c>
    </row>
    <row r="10" customFormat="false" ht="15" hidden="false" customHeight="false" outlineLevel="0" collapsed="false">
      <c r="A10" s="0" t="s">
        <v>15</v>
      </c>
      <c r="B10" s="0" t="n">
        <v>57</v>
      </c>
      <c r="C10" s="0" t="n">
        <v>4.5</v>
      </c>
      <c r="D10" s="0" t="n">
        <v>80</v>
      </c>
      <c r="E10" s="0" t="n">
        <v>5.43</v>
      </c>
      <c r="F10" s="0" t="n">
        <v>90</v>
      </c>
      <c r="G10" s="0" t="n">
        <v>89</v>
      </c>
    </row>
    <row r="11" customFormat="false" ht="15" hidden="false" customHeight="false" outlineLevel="0" collapsed="false">
      <c r="A11" s="0" t="s">
        <v>16</v>
      </c>
      <c r="B11" s="0" t="n">
        <v>48</v>
      </c>
      <c r="C11" s="0" t="n">
        <v>5.55</v>
      </c>
      <c r="D11" s="0" t="n">
        <v>76</v>
      </c>
      <c r="E11" s="0" t="n">
        <v>5.56</v>
      </c>
      <c r="F11" s="0" t="n">
        <v>96</v>
      </c>
      <c r="G11" s="0" t="n">
        <v>86</v>
      </c>
    </row>
    <row r="12" customFormat="false" ht="15" hidden="false" customHeight="false" outlineLevel="0" collapsed="false">
      <c r="A12" s="0" t="s">
        <v>17</v>
      </c>
      <c r="B12" s="0" t="n">
        <v>57</v>
      </c>
      <c r="C12" s="0" t="n">
        <v>2.94</v>
      </c>
      <c r="D12" s="0" t="n">
        <v>77</v>
      </c>
      <c r="E12" s="0" t="n">
        <v>5.61</v>
      </c>
      <c r="F12" s="0" t="n">
        <v>96</v>
      </c>
      <c r="G12" s="0" t="n">
        <v>93</v>
      </c>
    </row>
    <row r="13" customFormat="false" ht="15" hidden="false" customHeight="false" outlineLevel="0" collapsed="false">
      <c r="A13" s="0" t="s">
        <v>18</v>
      </c>
      <c r="B13" s="0" t="n">
        <v>42</v>
      </c>
      <c r="C13" s="0" t="n">
        <v>4.34</v>
      </c>
      <c r="D13" s="0" t="n">
        <v>73</v>
      </c>
      <c r="E13" s="0" t="n">
        <v>4.14</v>
      </c>
      <c r="F13" s="0" t="n">
        <v>92</v>
      </c>
      <c r="G13" s="0" t="n">
        <v>88</v>
      </c>
    </row>
    <row r="14" customFormat="false" ht="15" hidden="false" customHeight="false" outlineLevel="0" collapsed="false">
      <c r="A14" s="0" t="s">
        <v>19</v>
      </c>
      <c r="B14" s="0" t="n">
        <v>46</v>
      </c>
      <c r="C14" s="0" t="n">
        <v>3.41</v>
      </c>
      <c r="D14" s="0" t="n">
        <v>67</v>
      </c>
      <c r="E14" s="0" t="n">
        <v>4.43</v>
      </c>
      <c r="F14" s="0" t="n">
        <v>95</v>
      </c>
      <c r="G14" s="0" t="n">
        <v>96</v>
      </c>
    </row>
    <row r="15" customFormat="false" ht="15" hidden="false" customHeight="false" outlineLevel="0" collapsed="false">
      <c r="A15" s="0" t="s">
        <v>20</v>
      </c>
      <c r="B15" s="0" t="n">
        <v>52</v>
      </c>
      <c r="C15" s="0" t="n">
        <v>5.69</v>
      </c>
      <c r="D15" s="0" t="n">
        <v>78</v>
      </c>
      <c r="E15" s="0" t="n">
        <v>3.43</v>
      </c>
      <c r="F15" s="0" t="n">
        <v>96</v>
      </c>
      <c r="G15" s="0" t="n">
        <v>85</v>
      </c>
    </row>
    <row r="16" customFormat="false" ht="15" hidden="false" customHeight="false" outlineLevel="0" collapsed="false">
      <c r="A16" s="0" t="s">
        <v>21</v>
      </c>
      <c r="B16" s="0" t="n">
        <v>46</v>
      </c>
      <c r="C16" s="0" t="n">
        <v>3.55</v>
      </c>
      <c r="D16" s="0" t="n">
        <v>74</v>
      </c>
      <c r="E16" s="0" t="n">
        <v>6.31</v>
      </c>
      <c r="F16" s="0" t="n">
        <v>98</v>
      </c>
      <c r="G16" s="0" t="n">
        <v>88</v>
      </c>
    </row>
    <row r="17" customFormat="false" ht="15" hidden="false" customHeight="false" outlineLevel="0" collapsed="false">
      <c r="A17" s="0" t="s">
        <v>22</v>
      </c>
      <c r="B17" s="0" t="n">
        <v>50</v>
      </c>
      <c r="C17" s="0" t="n">
        <v>3.82</v>
      </c>
      <c r="D17" s="0" t="n">
        <v>79</v>
      </c>
      <c r="E17" s="0" t="n">
        <v>3.08</v>
      </c>
      <c r="F17" s="0" t="n">
        <v>94</v>
      </c>
      <c r="G17" s="0" t="n">
        <v>87</v>
      </c>
    </row>
    <row r="18" customFormat="false" ht="15" hidden="false" customHeight="false" outlineLevel="0" collapsed="false">
      <c r="A18" s="0" t="s">
        <v>23</v>
      </c>
      <c r="B18" s="0" t="n">
        <v>60</v>
      </c>
      <c r="C18" s="0" t="n">
        <v>2.84</v>
      </c>
      <c r="D18" s="0" t="n">
        <v>74</v>
      </c>
      <c r="E18" s="0" t="n">
        <v>5.35</v>
      </c>
      <c r="F18" s="0" t="n">
        <v>98</v>
      </c>
      <c r="G18" s="0" t="n">
        <v>86</v>
      </c>
    </row>
    <row r="19" customFormat="false" ht="15" hidden="false" customHeight="false" outlineLevel="0" collapsed="false">
      <c r="A19" s="0" t="s">
        <v>24</v>
      </c>
      <c r="B19" s="0" t="n">
        <v>68</v>
      </c>
      <c r="C19" s="0" t="n">
        <v>3.2</v>
      </c>
      <c r="D19" s="0" t="n">
        <v>71</v>
      </c>
      <c r="E19" s="0" t="n">
        <v>5.29</v>
      </c>
      <c r="F19" s="0" t="n">
        <v>94</v>
      </c>
      <c r="G19" s="0" t="n">
        <v>87</v>
      </c>
    </row>
    <row r="20" customFormat="false" ht="15" hidden="false" customHeight="false" outlineLevel="0" collapsed="false">
      <c r="A20" s="0" t="s">
        <v>25</v>
      </c>
      <c r="B20" s="0" t="n">
        <v>46</v>
      </c>
      <c r="C20" s="0" t="n">
        <v>5.19</v>
      </c>
      <c r="D20" s="0" t="n">
        <v>78</v>
      </c>
      <c r="E20" s="0" t="n">
        <v>6.05</v>
      </c>
      <c r="F20" s="0" t="n">
        <v>95</v>
      </c>
      <c r="G20" s="0" t="n">
        <v>91</v>
      </c>
    </row>
    <row r="21" customFormat="false" ht="15" hidden="false" customHeight="false" outlineLevel="0" collapsed="false">
      <c r="A21" s="0" t="s">
        <v>26</v>
      </c>
      <c r="B21" s="0" t="n">
        <v>54</v>
      </c>
      <c r="C21" s="0" t="n">
        <v>4.13</v>
      </c>
      <c r="D21" s="0" t="n">
        <v>70</v>
      </c>
      <c r="E21" s="0" t="n">
        <v>3.93</v>
      </c>
      <c r="F21" s="0" t="n">
        <v>95</v>
      </c>
      <c r="G21" s="0" t="n">
        <v>87</v>
      </c>
    </row>
    <row r="22" customFormat="false" ht="15" hidden="false" customHeight="false" outlineLevel="0" collapsed="false">
      <c r="A22" s="0" t="s">
        <v>27</v>
      </c>
      <c r="B22" s="0" t="n">
        <v>50</v>
      </c>
      <c r="C22" s="0" t="n">
        <v>5.16</v>
      </c>
      <c r="D22" s="0" t="n">
        <v>66</v>
      </c>
      <c r="E22" s="0" t="n">
        <v>3.15</v>
      </c>
      <c r="F22" s="0" t="n">
        <v>95</v>
      </c>
      <c r="G22" s="0" t="n">
        <v>89</v>
      </c>
    </row>
    <row r="23" customFormat="false" ht="15" hidden="false" customHeight="false" outlineLevel="0" collapsed="false">
      <c r="A23" s="0" t="s">
        <v>28</v>
      </c>
      <c r="B23" s="0" t="n">
        <v>56</v>
      </c>
      <c r="C23" s="0" t="n">
        <v>4.46</v>
      </c>
      <c r="D23" s="0" t="n">
        <v>77</v>
      </c>
      <c r="E23" s="0" t="n">
        <v>2.71</v>
      </c>
      <c r="F23" s="0" t="n">
        <v>94</v>
      </c>
      <c r="G23" s="0" t="n">
        <v>91</v>
      </c>
    </row>
    <row r="24" customFormat="false" ht="15" hidden="false" customHeight="false" outlineLevel="0" collapsed="false">
      <c r="A24" s="0" t="s">
        <v>29</v>
      </c>
      <c r="B24" s="0" t="n">
        <v>71</v>
      </c>
      <c r="C24" s="0" t="n">
        <v>5.31</v>
      </c>
      <c r="D24" s="0" t="n">
        <v>69</v>
      </c>
      <c r="E24" s="0" t="n">
        <v>5.65</v>
      </c>
      <c r="F24" s="0" t="n">
        <v>95</v>
      </c>
      <c r="G24" s="0" t="n">
        <v>87</v>
      </c>
    </row>
    <row r="25" customFormat="false" ht="15" hidden="false" customHeight="false" outlineLevel="0" collapsed="false">
      <c r="A25" s="0" t="s">
        <v>30</v>
      </c>
      <c r="B25" s="0" t="n">
        <v>44</v>
      </c>
      <c r="C25" s="0" t="n">
        <v>5.56</v>
      </c>
      <c r="D25" s="0" t="n">
        <v>69</v>
      </c>
      <c r="E25" s="0" t="n">
        <v>3.06</v>
      </c>
      <c r="F25" s="0" t="n">
        <v>95</v>
      </c>
      <c r="G25" s="0" t="n">
        <v>89</v>
      </c>
    </row>
    <row r="26" customFormat="false" ht="15" hidden="false" customHeight="false" outlineLevel="0" collapsed="false">
      <c r="A26" s="0" t="s">
        <v>31</v>
      </c>
      <c r="B26" s="0" t="n">
        <v>60</v>
      </c>
      <c r="C26" s="0" t="n">
        <v>5.71</v>
      </c>
      <c r="D26" s="0" t="n">
        <v>72</v>
      </c>
      <c r="E26" s="0" t="n">
        <v>3.36</v>
      </c>
      <c r="F26" s="0" t="n">
        <v>90</v>
      </c>
      <c r="G26" s="0" t="n">
        <v>95</v>
      </c>
    </row>
    <row r="27" customFormat="false" ht="15" hidden="false" customHeight="false" outlineLevel="0" collapsed="false">
      <c r="A27" s="0" t="s">
        <v>32</v>
      </c>
      <c r="B27" s="0" t="n">
        <v>58</v>
      </c>
      <c r="C27" s="0" t="n">
        <v>5.74</v>
      </c>
      <c r="D27" s="0" t="n">
        <v>78</v>
      </c>
      <c r="E27" s="0" t="n">
        <v>3.15</v>
      </c>
      <c r="F27" s="0" t="n">
        <v>91</v>
      </c>
      <c r="G27" s="0" t="n">
        <v>88</v>
      </c>
    </row>
    <row r="28" customFormat="false" ht="15" hidden="false" customHeight="false" outlineLevel="0" collapsed="false">
      <c r="A28" s="0" t="s">
        <v>33</v>
      </c>
      <c r="B28" s="0" t="n">
        <v>45</v>
      </c>
      <c r="C28" s="0" t="n">
        <v>3.33</v>
      </c>
      <c r="D28" s="0" t="n">
        <v>76</v>
      </c>
      <c r="E28" s="0" t="n">
        <v>4.47</v>
      </c>
      <c r="F28" s="0" t="n">
        <v>97</v>
      </c>
      <c r="G28" s="0" t="n">
        <v>96</v>
      </c>
    </row>
    <row r="29" customFormat="false" ht="15" hidden="false" customHeight="false" outlineLevel="0" collapsed="false">
      <c r="A29" s="0" t="s">
        <v>34</v>
      </c>
      <c r="B29" s="0" t="n">
        <v>58</v>
      </c>
      <c r="C29" s="0" t="n">
        <v>3.94</v>
      </c>
      <c r="D29" s="0" t="n">
        <v>82</v>
      </c>
      <c r="E29" s="0" t="n">
        <v>4.92</v>
      </c>
      <c r="F29" s="0" t="n">
        <v>89</v>
      </c>
      <c r="G29" s="0" t="n">
        <v>94</v>
      </c>
    </row>
    <row r="30" customFormat="false" ht="15" hidden="false" customHeight="false" outlineLevel="0" collapsed="false">
      <c r="A30" s="0" t="s">
        <v>35</v>
      </c>
      <c r="B30" s="0" t="n">
        <v>41</v>
      </c>
      <c r="C30" s="0" t="n">
        <v>3.79</v>
      </c>
      <c r="D30" s="0" t="n">
        <v>66</v>
      </c>
      <c r="E30" s="0" t="n">
        <v>2.73</v>
      </c>
      <c r="F30" s="0" t="n">
        <v>96</v>
      </c>
      <c r="G30" s="0" t="n">
        <v>91</v>
      </c>
    </row>
    <row r="31" customFormat="false" ht="15" hidden="false" customHeight="false" outlineLevel="0" collapsed="false">
      <c r="A31" s="0" t="s">
        <v>36</v>
      </c>
      <c r="B31" s="0" t="n">
        <v>46</v>
      </c>
      <c r="C31" s="0" t="n">
        <v>3.9</v>
      </c>
      <c r="D31" s="0" t="n">
        <v>66</v>
      </c>
      <c r="E31" s="0" t="n">
        <v>6.42</v>
      </c>
      <c r="F31" s="0" t="n">
        <v>90</v>
      </c>
      <c r="G31" s="0" t="n">
        <v>92</v>
      </c>
    </row>
  </sheetData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0" t="s">
        <v>37</v>
      </c>
      <c r="B1" s="0" t="s">
        <v>38</v>
      </c>
      <c r="C1" s="0" t="s">
        <v>39</v>
      </c>
      <c r="D1" s="0" t="s">
        <v>40</v>
      </c>
    </row>
    <row r="2" customFormat="false" ht="15" hidden="false" customHeight="false" outlineLevel="0" collapsed="false">
      <c r="A2" s="0" t="s">
        <v>2</v>
      </c>
      <c r="B2" s="0" t="s">
        <v>41</v>
      </c>
      <c r="C2" s="0" t="n">
        <f aca="false">AVERAGE('KPI Dashboard'!C2:C31)</f>
        <v>4.24033333333333</v>
      </c>
    </row>
    <row r="3" customFormat="false" ht="15" hidden="false" customHeight="false" outlineLevel="0" collapsed="false">
      <c r="A3" s="0" t="s">
        <v>3</v>
      </c>
      <c r="B3" s="0" t="s">
        <v>42</v>
      </c>
      <c r="C3" s="0" t="n">
        <f aca="false">AVERAGE('KPI Dashboard'!D2:D31)</f>
        <v>73.3</v>
      </c>
    </row>
    <row r="4" customFormat="false" ht="15" hidden="false" customHeight="false" outlineLevel="0" collapsed="false">
      <c r="A4" s="0" t="s">
        <v>4</v>
      </c>
      <c r="B4" s="0" t="s">
        <v>43</v>
      </c>
      <c r="C4" s="0" t="n">
        <f aca="false">AVERAGE('KPI Dashboard'!E2:E31)</f>
        <v>4.403</v>
      </c>
    </row>
    <row r="5" customFormat="false" ht="15" hidden="false" customHeight="false" outlineLevel="0" collapsed="false">
      <c r="A5" s="0" t="s">
        <v>5</v>
      </c>
      <c r="B5" s="0" t="s">
        <v>44</v>
      </c>
      <c r="C5" s="0" t="n">
        <f aca="false">AVERAGE('KPI Dashboard'!F2:F31)</f>
        <v>93.8333333333333</v>
      </c>
    </row>
    <row r="6" customFormat="false" ht="15" hidden="false" customHeight="false" outlineLevel="0" collapsed="false">
      <c r="A6" s="0" t="s">
        <v>45</v>
      </c>
      <c r="B6" s="0" t="s">
        <v>44</v>
      </c>
      <c r="C6" s="0" t="n">
        <f aca="false">AVERAGE('KPI Dashboard'!G2:G31)</f>
        <v>90.3</v>
      </c>
    </row>
  </sheetData>
  <conditionalFormatting sqref="D2">
    <cfRule type="expression" priority="2" aboveAverage="0" equalAverage="0" bottom="0" percent="0" rank="0" text="" dxfId="0">
      <formula>C2&gt;=0</formula>
    </cfRule>
  </conditionalFormatting>
  <conditionalFormatting sqref="D3">
    <cfRule type="expression" priority="3" aboveAverage="0" equalAverage="0" bottom="0" percent="0" rank="0" text="" dxfId="0">
      <formula>C3&gt;=0</formula>
    </cfRule>
  </conditionalFormatting>
  <conditionalFormatting sqref="D4">
    <cfRule type="expression" priority="4" aboveAverage="0" equalAverage="0" bottom="0" percent="0" rank="0" text="" dxfId="0">
      <formula>C4&gt;=0</formula>
    </cfRule>
  </conditionalFormatting>
  <conditionalFormatting sqref="D5">
    <cfRule type="expression" priority="5" aboveAverage="0" equalAverage="0" bottom="0" percent="0" rank="0" text="" dxfId="0">
      <formula>C5&gt;=0</formula>
    </cfRule>
  </conditionalFormatting>
  <conditionalFormatting sqref="D6">
    <cfRule type="expression" priority="6" aboveAverage="0" equalAverage="0" bottom="0" percent="0" rank="0" text="" dxfId="0">
      <formula>C6&gt;=0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0" t="s">
        <v>46</v>
      </c>
      <c r="B1" s="0" t="s">
        <v>47</v>
      </c>
    </row>
    <row r="2" customFormat="false" ht="15" hidden="false" customHeight="false" outlineLevel="0" collapsed="false">
      <c r="A2" s="0" t="s">
        <v>48</v>
      </c>
      <c r="B2" s="0" t="n">
        <f aca="false">SUM('KPI Dashboard'!B2:B31)</f>
        <v>1657</v>
      </c>
    </row>
    <row r="3" customFormat="false" ht="15" hidden="false" customHeight="false" outlineLevel="0" collapsed="false">
      <c r="A3" s="0" t="s">
        <v>49</v>
      </c>
      <c r="B3" s="0" t="n">
        <f aca="false">AVERAGE('KPI Dashboard'!C2:C31)</f>
        <v>4.24033333333333</v>
      </c>
    </row>
    <row r="4" customFormat="false" ht="15" hidden="false" customHeight="false" outlineLevel="0" collapsed="false">
      <c r="A4" s="0" t="s">
        <v>50</v>
      </c>
      <c r="B4" s="0" t="n">
        <f aca="false">AVERAGE('KPI Dashboard'!D2:D31)</f>
        <v>73.3</v>
      </c>
    </row>
    <row r="5" customFormat="false" ht="15" hidden="false" customHeight="false" outlineLevel="0" collapsed="false">
      <c r="A5" s="0" t="s">
        <v>51</v>
      </c>
      <c r="B5" s="0" t="n">
        <f aca="false">AVERAGE('KPI Dashboard'!E2:E31)</f>
        <v>4.403</v>
      </c>
    </row>
    <row r="6" customFormat="false" ht="15" hidden="false" customHeight="false" outlineLevel="0" collapsed="false">
      <c r="A6" s="0" t="s">
        <v>52</v>
      </c>
      <c r="B6" s="0" t="n">
        <f aca="false">AVERAGE('KPI Dashboard'!F2:F31)</f>
        <v>93.8333333333333</v>
      </c>
    </row>
    <row r="7" customFormat="false" ht="15" hidden="false" customHeight="false" outlineLevel="0" collapsed="false">
      <c r="A7" s="0" t="s">
        <v>53</v>
      </c>
      <c r="B7" s="0" t="n">
        <f aca="false">AVERAGE('KPI Dashboard'!G2:G31)</f>
        <v>90.3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54</v>
      </c>
    </row>
    <row r="3" customFormat="false" ht="15" hidden="false" customHeight="false" outlineLevel="0" collapsed="false">
      <c r="A3" s="0" t="s">
        <v>55</v>
      </c>
    </row>
    <row r="4" customFormat="false" ht="15" hidden="false" customHeight="false" outlineLevel="0" collapsed="false">
      <c r="A4" s="0" t="s">
        <v>56</v>
      </c>
    </row>
    <row r="5" customFormat="false" ht="15" hidden="false" customHeight="false" outlineLevel="0" collapsed="false">
      <c r="A5" s="0" t="s">
        <v>57</v>
      </c>
    </row>
    <row r="7" customFormat="false" ht="15" hidden="false" customHeight="false" outlineLevel="0" collapsed="false">
      <c r="A7" s="0" t="s">
        <v>58</v>
      </c>
    </row>
    <row r="8" customFormat="false" ht="15" hidden="false" customHeight="false" outlineLevel="0" collapsed="false">
      <c r="A8" s="0" t="s">
        <v>59</v>
      </c>
    </row>
    <row r="9" customFormat="false" ht="15" hidden="false" customHeight="false" outlineLevel="0" collapsed="false">
      <c r="A9" s="0" t="s">
        <v>60</v>
      </c>
    </row>
    <row r="11" customFormat="false" ht="15" hidden="false" customHeight="false" outlineLevel="0" collapsed="false">
      <c r="A11" s="0" t="s">
        <v>61</v>
      </c>
    </row>
    <row r="12" customFormat="false" ht="15" hidden="false" customHeight="false" outlineLevel="0" collapsed="false">
      <c r="A12" s="0" t="s">
        <v>62</v>
      </c>
    </row>
    <row r="13" customFormat="false" ht="15" hidden="false" customHeight="false" outlineLevel="0" collapsed="false">
      <c r="A13" s="0" t="s">
        <v>63</v>
      </c>
    </row>
    <row r="15" customFormat="false" ht="15" hidden="false" customHeight="false" outlineLevel="0" collapsed="false">
      <c r="A15" s="0" t="s">
        <v>64</v>
      </c>
    </row>
    <row r="16" customFormat="false" ht="15" hidden="false" customHeight="false" outlineLevel="0" collapsed="false">
      <c r="A16" s="0" t="s">
        <v>65</v>
      </c>
    </row>
    <row r="17" customFormat="false" ht="15" hidden="false" customHeight="false" outlineLevel="0" collapsed="false">
      <c r="A17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2025-11-24T18:09:35Z</dcterms:created>
  <dc:creator>openpyxl</dc:creator>
  <dc:description/>
  <dc:language>en-US</dc:language>
  <cp:lastModifiedBy/>
  <dcterms:modified xsi:type="dcterms:W3CDTF">2025-11-24T14:03:37Z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